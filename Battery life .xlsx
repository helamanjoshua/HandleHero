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51A63D13-690C-45C1-BBC0-B967B1E771BF/Library/Application Support/Drafts/"/>
    </mc:Choice>
  </mc:AlternateContent>
  <xr:revisionPtr revIDLastSave="0" documentId="8_{5CADBF11-BDE7-4FB5-9775-0F7CEBFD79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P28" i="1" s="1"/>
  <c r="P19" i="1"/>
  <c r="P20" i="1" s="1"/>
  <c r="P22" i="1" s="1"/>
  <c r="P24" i="1" s="1"/>
  <c r="K70" i="1"/>
  <c r="K69" i="1"/>
  <c r="B70" i="1"/>
  <c r="M69" i="1"/>
  <c r="M68" i="1"/>
  <c r="I59" i="1"/>
  <c r="B59" i="1"/>
  <c r="K66" i="1" s="1"/>
  <c r="I58" i="1"/>
  <c r="E57" i="1"/>
  <c r="K67" i="1" s="1"/>
  <c r="B57" i="1"/>
  <c r="B40" i="1"/>
  <c r="B33" i="1"/>
  <c r="I32" i="1"/>
  <c r="C41" i="1" s="1"/>
  <c r="E41" i="1" s="1"/>
  <c r="E42" i="1" s="1"/>
  <c r="E31" i="1"/>
  <c r="B31" i="1"/>
  <c r="P11" i="1"/>
  <c r="P12" i="1" s="1"/>
  <c r="P3" i="1"/>
  <c r="P4" i="1" s="1"/>
  <c r="P6" i="1" s="1"/>
  <c r="P8" i="1" s="1"/>
  <c r="I4" i="1"/>
  <c r="B3" i="1"/>
  <c r="B12" i="1"/>
  <c r="B5" i="1"/>
  <c r="E3" i="1"/>
  <c r="C67" i="1" l="1"/>
  <c r="C65" i="1"/>
  <c r="E67" i="1"/>
  <c r="E65" i="1"/>
  <c r="B60" i="1"/>
  <c r="C39" i="1"/>
  <c r="E39" i="1" s="1"/>
  <c r="C38" i="1"/>
  <c r="B34" i="1"/>
  <c r="B6" i="1"/>
  <c r="C10" i="1"/>
  <c r="C11" i="1"/>
  <c r="E11" i="1" s="1"/>
  <c r="E68" i="1" l="1"/>
  <c r="B74" i="1" s="1"/>
  <c r="B75" i="1" s="1"/>
  <c r="C40" i="1"/>
  <c r="E38" i="1"/>
  <c r="B44" i="1" s="1"/>
  <c r="B48" i="1" s="1"/>
  <c r="B49" i="1" s="1"/>
  <c r="E10" i="1"/>
  <c r="E13" i="1" s="1"/>
  <c r="B15" i="1" s="1"/>
  <c r="B19" i="1" s="1"/>
  <c r="B20" i="1" s="1"/>
  <c r="C12" i="1"/>
</calcChain>
</file>

<file path=xl/sharedStrings.xml><?xml version="1.0" encoding="utf-8"?>
<sst xmlns="http://schemas.openxmlformats.org/spreadsheetml/2006/main" count="181" uniqueCount="60">
  <si>
    <t xml:space="preserve">Motor </t>
  </si>
  <si>
    <t>UBEC</t>
  </si>
  <si>
    <t xml:space="preserve">GRCERY SHOPPING </t>
  </si>
  <si>
    <t>Motor Torque</t>
  </si>
  <si>
    <t>I/rotation</t>
  </si>
  <si>
    <t>A</t>
  </si>
  <si>
    <t>mAh</t>
  </si>
  <si>
    <t>/week</t>
  </si>
  <si>
    <t xml:space="preserve">Times </t>
  </si>
  <si>
    <t>Latch retraction force</t>
  </si>
  <si>
    <t>lb</t>
  </si>
  <si>
    <t>Rotation/week</t>
  </si>
  <si>
    <t>mAh/week</t>
  </si>
  <si>
    <t xml:space="preserve">Duration </t>
  </si>
  <si>
    <t xml:space="preserve">Hr </t>
  </si>
  <si>
    <t>N</t>
  </si>
  <si>
    <t>t/rotation</t>
  </si>
  <si>
    <t>S</t>
  </si>
  <si>
    <t>Hr</t>
  </si>
  <si>
    <t>Equivalent Load</t>
  </si>
  <si>
    <t>kg</t>
  </si>
  <si>
    <t>Q/rotation</t>
  </si>
  <si>
    <t>Radius Arm</t>
  </si>
  <si>
    <t>cm</t>
  </si>
  <si>
    <t>Weekly I</t>
  </si>
  <si>
    <t xml:space="preserve">mAh/week </t>
  </si>
  <si>
    <t>Required Torque</t>
  </si>
  <si>
    <t>kg*cm</t>
  </si>
  <si>
    <t>Safety Factor</t>
  </si>
  <si>
    <t>ESP</t>
  </si>
  <si>
    <t>Torque</t>
  </si>
  <si>
    <t xml:space="preserve">State </t>
  </si>
  <si>
    <t xml:space="preserve">Duration(s) </t>
  </si>
  <si>
    <t>Hr/week</t>
  </si>
  <si>
    <t xml:space="preserve">mA </t>
  </si>
  <si>
    <t xml:space="preserve">mAh </t>
  </si>
  <si>
    <t xml:space="preserve">Awake </t>
  </si>
  <si>
    <t xml:space="preserve">Selected Motor </t>
  </si>
  <si>
    <t xml:space="preserve">Deep sleep </t>
  </si>
  <si>
    <t>Torque Capacity</t>
  </si>
  <si>
    <t xml:space="preserve">Cycle </t>
  </si>
  <si>
    <t>lb*ft</t>
  </si>
  <si>
    <t>ESP total</t>
  </si>
  <si>
    <t>Total</t>
  </si>
  <si>
    <t xml:space="preserve">Battery </t>
  </si>
  <si>
    <t xml:space="preserve">Capacity </t>
  </si>
  <si>
    <t>Life</t>
  </si>
  <si>
    <t>Weeks</t>
  </si>
  <si>
    <t>Months</t>
  </si>
  <si>
    <t>1 time/ 1 hr</t>
  </si>
  <si>
    <t>3 times /1.5 hr</t>
  </si>
  <si>
    <t>5 times / 2 hr</t>
  </si>
  <si>
    <t>light sleep</t>
  </si>
  <si>
    <t>Motor</t>
  </si>
  <si>
    <t>mAh/operation</t>
  </si>
  <si>
    <t>Voltage Regulator</t>
  </si>
  <si>
    <t>ESP Deep Sleep</t>
  </si>
  <si>
    <t>mA</t>
  </si>
  <si>
    <t>hr/week</t>
  </si>
  <si>
    <t>ESP Modem 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</si>
</sst>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1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1" xfId="0" applyBorder="1"/>
    <xf numFmtId="2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2" fontId="0" fillId="0" borderId="14" xfId="0" applyNumberFormat="1" applyBorder="1"/>
    <xf numFmtId="0" fontId="0" fillId="0" borderId="15" xfId="0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0" borderId="2" xfId="0" applyBorder="1"/>
    <xf numFmtId="164" fontId="0" fillId="0" borderId="3" xfId="0" applyNumberFormat="1" applyBorder="1"/>
    <xf numFmtId="2" fontId="0" fillId="0" borderId="0" xfId="0" applyNumberFormat="1"/>
    <xf numFmtId="0" fontId="0" fillId="0" borderId="19" xfId="0" applyBorder="1"/>
    <xf numFmtId="0" fontId="0" fillId="0" borderId="20" xfId="0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A129-43E4-2A4C-9242-3E36373A9AF8}">
  <dimension ref="A1:Q75"/>
  <sheetViews>
    <sheetView tabSelected="1" zoomScaleNormal="150" zoomScaleSheetLayoutView="100" workbookViewId="0">
      <selection activeCell="O17" sqref="O17:Q28"/>
    </sheetView>
  </sheetViews>
  <sheetFormatPr defaultRowHeight="15"/>
  <cols>
    <col min="1" max="1" width="13.28515625" customWidth="1"/>
    <col min="2" max="2" width="13.140625" customWidth="1"/>
    <col min="3" max="3" width="10.85546875" customWidth="1"/>
    <col min="6" max="6" width="10.5703125" customWidth="1"/>
    <col min="10" max="10" width="16" customWidth="1"/>
    <col min="11" max="11" width="12.28515625" customWidth="1"/>
    <col min="12" max="12" width="14.140625" customWidth="1"/>
    <col min="13" max="13" width="12.7109375" customWidth="1"/>
    <col min="15" max="15" width="19.140625" customWidth="1"/>
    <col min="16" max="16" width="9.28515625" bestFit="1" customWidth="1"/>
    <col min="18" max="18" width="12.28515625" customWidth="1"/>
  </cols>
  <sheetData>
    <row r="1" spans="1:17">
      <c r="A1" s="1" t="s">
        <v>0</v>
      </c>
      <c r="E1" s="1" t="s">
        <v>1</v>
      </c>
      <c r="H1" s="1" t="s">
        <v>2</v>
      </c>
      <c r="O1" s="24" t="s">
        <v>3</v>
      </c>
      <c r="P1" s="17"/>
      <c r="Q1" s="18"/>
    </row>
    <row r="2" spans="1:17">
      <c r="A2" t="s">
        <v>4</v>
      </c>
      <c r="B2">
        <v>3.45</v>
      </c>
      <c r="C2" t="s">
        <v>5</v>
      </c>
      <c r="E2">
        <v>10</v>
      </c>
      <c r="F2" t="s">
        <v>6</v>
      </c>
      <c r="H2" t="s">
        <v>7</v>
      </c>
      <c r="I2">
        <v>3</v>
      </c>
      <c r="J2" t="s">
        <v>8</v>
      </c>
      <c r="O2" s="19" t="s">
        <v>9</v>
      </c>
      <c r="P2" s="15">
        <v>9</v>
      </c>
      <c r="Q2" s="20" t="s">
        <v>10</v>
      </c>
    </row>
    <row r="3" spans="1:17">
      <c r="A3" t="s">
        <v>11</v>
      </c>
      <c r="B3">
        <f>I2*2</f>
        <v>6</v>
      </c>
      <c r="C3" t="s">
        <v>8</v>
      </c>
      <c r="E3" s="3">
        <f>E2*I4</f>
        <v>45</v>
      </c>
      <c r="F3" t="s">
        <v>12</v>
      </c>
      <c r="H3" t="s">
        <v>13</v>
      </c>
      <c r="I3">
        <v>1.5</v>
      </c>
      <c r="J3" t="s">
        <v>14</v>
      </c>
      <c r="O3" s="19"/>
      <c r="P3" s="16">
        <f>P2*4.44822</f>
        <v>40.03398</v>
      </c>
      <c r="Q3" s="20" t="s">
        <v>15</v>
      </c>
    </row>
    <row r="4" spans="1:17">
      <c r="A4" t="s">
        <v>16</v>
      </c>
      <c r="B4">
        <v>2</v>
      </c>
      <c r="C4" t="s">
        <v>17</v>
      </c>
      <c r="I4">
        <f>I2*I3</f>
        <v>4.5</v>
      </c>
      <c r="J4" t="s">
        <v>18</v>
      </c>
      <c r="O4" s="19" t="s">
        <v>19</v>
      </c>
      <c r="P4" s="16">
        <f>P3/9.8</f>
        <v>4.0850999999999997</v>
      </c>
      <c r="Q4" s="20" t="s">
        <v>20</v>
      </c>
    </row>
    <row r="5" spans="1:17">
      <c r="A5" t="s">
        <v>21</v>
      </c>
      <c r="B5" s="2">
        <f>B2*B4/3600*1000</f>
        <v>1.9166666666666667</v>
      </c>
      <c r="C5" t="s">
        <v>6</v>
      </c>
      <c r="O5" s="25" t="s">
        <v>22</v>
      </c>
      <c r="P5" s="26">
        <v>5</v>
      </c>
      <c r="Q5" s="27" t="s">
        <v>23</v>
      </c>
    </row>
    <row r="6" spans="1:17">
      <c r="A6" t="s">
        <v>24</v>
      </c>
      <c r="B6" s="3">
        <f>B5*B3</f>
        <v>11.5</v>
      </c>
      <c r="C6" t="s">
        <v>25</v>
      </c>
      <c r="O6" s="28" t="s">
        <v>26</v>
      </c>
      <c r="P6" s="29">
        <f>P4*P5</f>
        <v>20.4255</v>
      </c>
      <c r="Q6" s="30" t="s">
        <v>27</v>
      </c>
    </row>
    <row r="7" spans="1:17">
      <c r="O7" s="25" t="s">
        <v>28</v>
      </c>
      <c r="P7" s="26">
        <v>2</v>
      </c>
      <c r="Q7" s="27"/>
    </row>
    <row r="8" spans="1:17">
      <c r="A8" s="1" t="s">
        <v>29</v>
      </c>
      <c r="O8" s="31" t="s">
        <v>30</v>
      </c>
      <c r="P8" s="32">
        <f>P6*P7</f>
        <v>40.850999999999999</v>
      </c>
      <c r="Q8" s="33" t="s">
        <v>27</v>
      </c>
    </row>
    <row r="9" spans="1:17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17">
      <c r="A10" t="s">
        <v>36</v>
      </c>
      <c r="B10">
        <v>5</v>
      </c>
      <c r="C10">
        <f>I4*B10/B12</f>
        <v>2.25</v>
      </c>
      <c r="D10">
        <v>120</v>
      </c>
      <c r="E10">
        <f>C10*D10</f>
        <v>270</v>
      </c>
      <c r="O10" s="24" t="s">
        <v>37</v>
      </c>
      <c r="P10" s="17"/>
      <c r="Q10" s="18"/>
    </row>
    <row r="11" spans="1:17">
      <c r="A11" t="s">
        <v>38</v>
      </c>
      <c r="B11">
        <v>5</v>
      </c>
      <c r="C11">
        <f>I4*B11/B12</f>
        <v>2.25</v>
      </c>
      <c r="D11">
        <v>0.05</v>
      </c>
      <c r="E11">
        <f>C11*D11</f>
        <v>0.1125</v>
      </c>
      <c r="O11" s="19" t="s">
        <v>39</v>
      </c>
      <c r="P11" s="15">
        <f>40</f>
        <v>40</v>
      </c>
      <c r="Q11" s="20" t="s">
        <v>27</v>
      </c>
    </row>
    <row r="12" spans="1:17">
      <c r="A12" t="s">
        <v>40</v>
      </c>
      <c r="B12">
        <f>B10+B11</f>
        <v>10</v>
      </c>
      <c r="C12">
        <f>C10+C11</f>
        <v>4.5</v>
      </c>
      <c r="O12" s="21"/>
      <c r="P12" s="22">
        <f>P11*0.07233</f>
        <v>2.8932000000000002</v>
      </c>
      <c r="Q12" s="23" t="s">
        <v>41</v>
      </c>
    </row>
    <row r="13" spans="1:17">
      <c r="D13" t="s">
        <v>42</v>
      </c>
      <c r="E13" s="3">
        <f>E10+E11</f>
        <v>270.11250000000001</v>
      </c>
      <c r="F13" t="s">
        <v>12</v>
      </c>
    </row>
    <row r="15" spans="1:17">
      <c r="A15" s="1" t="s">
        <v>43</v>
      </c>
      <c r="B15" s="4">
        <f>B6+E13+E3</f>
        <v>326.61250000000001</v>
      </c>
      <c r="C15" t="s">
        <v>12</v>
      </c>
    </row>
    <row r="17" spans="1:17">
      <c r="A17" s="1" t="s">
        <v>44</v>
      </c>
      <c r="O17" s="24" t="s">
        <v>3</v>
      </c>
      <c r="P17" s="17"/>
      <c r="Q17" s="18"/>
    </row>
    <row r="18" spans="1:17">
      <c r="A18" t="s">
        <v>45</v>
      </c>
      <c r="B18">
        <v>3000</v>
      </c>
      <c r="C18" t="s">
        <v>6</v>
      </c>
      <c r="O18" s="19" t="s">
        <v>9</v>
      </c>
      <c r="P18" s="15">
        <v>9</v>
      </c>
      <c r="Q18" s="20" t="s">
        <v>10</v>
      </c>
    </row>
    <row r="19" spans="1:17">
      <c r="A19" t="s">
        <v>46</v>
      </c>
      <c r="B19" s="5">
        <f>B18/B15</f>
        <v>9.1851965249339802</v>
      </c>
      <c r="C19" t="s">
        <v>47</v>
      </c>
      <c r="O19" s="19"/>
      <c r="P19" s="16">
        <f>P18*4.44822</f>
        <v>40.03398</v>
      </c>
      <c r="Q19" s="20" t="s">
        <v>15</v>
      </c>
    </row>
    <row r="20" spans="1:17">
      <c r="B20" s="5">
        <f>B19/4</f>
        <v>2.296299131233495</v>
      </c>
      <c r="C20" t="s">
        <v>48</v>
      </c>
      <c r="O20" s="19" t="s">
        <v>19</v>
      </c>
      <c r="P20" s="16">
        <f>P19/9.8</f>
        <v>4.0850999999999997</v>
      </c>
      <c r="Q20" s="20" t="s">
        <v>20</v>
      </c>
    </row>
    <row r="21" spans="1:17">
      <c r="O21" s="25" t="s">
        <v>22</v>
      </c>
      <c r="P21" s="26">
        <v>5</v>
      </c>
      <c r="Q21" s="27" t="s">
        <v>23</v>
      </c>
    </row>
    <row r="22" spans="1:17">
      <c r="O22" s="28" t="s">
        <v>26</v>
      </c>
      <c r="P22" s="29">
        <f>P20*P21</f>
        <v>20.4255</v>
      </c>
      <c r="Q22" s="30" t="s">
        <v>27</v>
      </c>
    </row>
    <row r="23" spans="1:17">
      <c r="J23" s="10"/>
      <c r="K23" s="13" t="s">
        <v>49</v>
      </c>
      <c r="L23" s="13" t="s">
        <v>50</v>
      </c>
      <c r="M23" s="14" t="s">
        <v>51</v>
      </c>
      <c r="O23" s="25" t="s">
        <v>28</v>
      </c>
      <c r="P23" s="26">
        <v>2</v>
      </c>
      <c r="Q23" s="27"/>
    </row>
    <row r="24" spans="1:17">
      <c r="J24" s="11" t="s">
        <v>47</v>
      </c>
      <c r="K24" s="6">
        <v>40.618300801083151</v>
      </c>
      <c r="L24" s="6">
        <v>9.3717052598695769</v>
      </c>
      <c r="M24" s="7">
        <v>4.1700451754894017</v>
      </c>
      <c r="O24" s="31" t="s">
        <v>30</v>
      </c>
      <c r="P24" s="32">
        <f>P22*P23</f>
        <v>40.850999999999999</v>
      </c>
      <c r="Q24" s="33" t="s">
        <v>27</v>
      </c>
    </row>
    <row r="25" spans="1:17">
      <c r="J25" s="12" t="s">
        <v>48</v>
      </c>
      <c r="K25" s="8">
        <v>10.154575200270788</v>
      </c>
      <c r="L25" s="8">
        <v>2.3429263149673942</v>
      </c>
      <c r="M25" s="9">
        <v>1.0425112938723504</v>
      </c>
    </row>
    <row r="26" spans="1:17">
      <c r="O26" s="24" t="s">
        <v>37</v>
      </c>
      <c r="P26" s="17"/>
      <c r="Q26" s="18"/>
    </row>
    <row r="27" spans="1:17">
      <c r="O27" s="19" t="s">
        <v>39</v>
      </c>
      <c r="P27" s="15">
        <f>40</f>
        <v>40</v>
      </c>
      <c r="Q27" s="20" t="s">
        <v>27</v>
      </c>
    </row>
    <row r="28" spans="1:17">
      <c r="O28" s="21"/>
      <c r="P28" s="22">
        <f>P27*0.07233</f>
        <v>2.8932000000000002</v>
      </c>
      <c r="Q28" s="23" t="s">
        <v>41</v>
      </c>
    </row>
    <row r="29" spans="1:17">
      <c r="A29" s="1" t="s">
        <v>0</v>
      </c>
      <c r="E29" s="1" t="s">
        <v>1</v>
      </c>
      <c r="H29" s="1" t="s">
        <v>2</v>
      </c>
    </row>
    <row r="30" spans="1:17">
      <c r="A30" t="s">
        <v>4</v>
      </c>
      <c r="B30">
        <v>3.45</v>
      </c>
      <c r="C30" t="s">
        <v>5</v>
      </c>
      <c r="E30">
        <v>10</v>
      </c>
      <c r="F30" t="s">
        <v>6</v>
      </c>
      <c r="H30" t="s">
        <v>7</v>
      </c>
      <c r="I30">
        <v>5</v>
      </c>
      <c r="J30" t="s">
        <v>8</v>
      </c>
    </row>
    <row r="31" spans="1:17">
      <c r="A31" t="s">
        <v>11</v>
      </c>
      <c r="B31">
        <f>I30*2</f>
        <v>10</v>
      </c>
      <c r="C31" t="s">
        <v>8</v>
      </c>
      <c r="E31" s="3">
        <f>E30*I32</f>
        <v>100</v>
      </c>
      <c r="F31" t="s">
        <v>12</v>
      </c>
      <c r="H31" t="s">
        <v>13</v>
      </c>
      <c r="I31">
        <v>2</v>
      </c>
      <c r="J31" t="s">
        <v>14</v>
      </c>
    </row>
    <row r="32" spans="1:17">
      <c r="A32" t="s">
        <v>16</v>
      </c>
      <c r="B32">
        <v>2</v>
      </c>
      <c r="C32" t="s">
        <v>17</v>
      </c>
      <c r="I32">
        <f>I30*I31</f>
        <v>10</v>
      </c>
      <c r="J32" t="s">
        <v>18</v>
      </c>
    </row>
    <row r="33" spans="1:6">
      <c r="A33" t="s">
        <v>21</v>
      </c>
      <c r="B33" s="2">
        <f>B30*B32/3600*1000</f>
        <v>1.9166666666666667</v>
      </c>
      <c r="C33" t="s">
        <v>6</v>
      </c>
    </row>
    <row r="34" spans="1:6">
      <c r="A34" t="s">
        <v>24</v>
      </c>
      <c r="B34" s="3">
        <f>B33*B31</f>
        <v>19.166666666666668</v>
      </c>
      <c r="C34" t="s">
        <v>25</v>
      </c>
    </row>
    <row r="36" spans="1:6">
      <c r="A36" s="1" t="s">
        <v>29</v>
      </c>
    </row>
    <row r="37" spans="1:6">
      <c r="A37" t="s">
        <v>31</v>
      </c>
      <c r="B37" t="s">
        <v>32</v>
      </c>
      <c r="C37" t="s">
        <v>33</v>
      </c>
      <c r="D37" t="s">
        <v>34</v>
      </c>
      <c r="E37" t="s">
        <v>35</v>
      </c>
    </row>
    <row r="38" spans="1:6">
      <c r="A38" t="s">
        <v>36</v>
      </c>
      <c r="B38">
        <v>5</v>
      </c>
      <c r="C38">
        <f>I32*B38/B40</f>
        <v>5</v>
      </c>
      <c r="D38">
        <v>120</v>
      </c>
      <c r="E38">
        <f>C38*D38</f>
        <v>600</v>
      </c>
    </row>
    <row r="39" spans="1:6">
      <c r="A39" t="s">
        <v>38</v>
      </c>
      <c r="B39">
        <v>5</v>
      </c>
      <c r="C39">
        <f>I32*B39/B40</f>
        <v>5</v>
      </c>
      <c r="D39">
        <v>0.05</v>
      </c>
      <c r="E39">
        <f>C39*D39</f>
        <v>0.25</v>
      </c>
    </row>
    <row r="40" spans="1:6">
      <c r="A40" t="s">
        <v>40</v>
      </c>
      <c r="B40">
        <f>B38+B39</f>
        <v>10</v>
      </c>
      <c r="C40">
        <f>C38+C39</f>
        <v>10</v>
      </c>
    </row>
    <row r="41" spans="1:6">
      <c r="A41" t="s">
        <v>52</v>
      </c>
      <c r="C41">
        <f>I32</f>
        <v>10</v>
      </c>
      <c r="D41">
        <v>2</v>
      </c>
      <c r="E41">
        <f>C41*D41</f>
        <v>20</v>
      </c>
    </row>
    <row r="42" spans="1:6">
      <c r="D42" t="s">
        <v>42</v>
      </c>
      <c r="E42" s="3">
        <f>E41</f>
        <v>20</v>
      </c>
      <c r="F42" t="s">
        <v>12</v>
      </c>
    </row>
    <row r="44" spans="1:6">
      <c r="A44" s="1" t="s">
        <v>43</v>
      </c>
      <c r="B44" s="4">
        <f>B34+E42+E31</f>
        <v>139.16666666666669</v>
      </c>
      <c r="C44" t="s">
        <v>12</v>
      </c>
    </row>
    <row r="46" spans="1:6">
      <c r="A46" s="1" t="s">
        <v>44</v>
      </c>
    </row>
    <row r="47" spans="1:6">
      <c r="A47" t="s">
        <v>45</v>
      </c>
      <c r="B47">
        <v>3000</v>
      </c>
      <c r="C47" t="s">
        <v>6</v>
      </c>
    </row>
    <row r="48" spans="1:6">
      <c r="A48" t="s">
        <v>46</v>
      </c>
      <c r="B48" s="5">
        <f>B47/B44</f>
        <v>21.556886227544908</v>
      </c>
      <c r="C48" t="s">
        <v>47</v>
      </c>
    </row>
    <row r="49" spans="1:12">
      <c r="B49" s="5">
        <f>B48/4</f>
        <v>5.3892215568862269</v>
      </c>
      <c r="C49" t="s">
        <v>48</v>
      </c>
    </row>
    <row r="55" spans="1:12">
      <c r="A55" s="1" t="s">
        <v>0</v>
      </c>
      <c r="E55" s="1" t="s">
        <v>1</v>
      </c>
      <c r="H55" s="1" t="s">
        <v>2</v>
      </c>
    </row>
    <row r="56" spans="1:12">
      <c r="A56" t="s">
        <v>4</v>
      </c>
      <c r="B56">
        <v>3.45</v>
      </c>
      <c r="C56" t="s">
        <v>5</v>
      </c>
      <c r="E56">
        <v>10</v>
      </c>
      <c r="F56" t="s">
        <v>6</v>
      </c>
      <c r="H56" t="s">
        <v>7</v>
      </c>
      <c r="I56">
        <v>5</v>
      </c>
      <c r="J56" t="s">
        <v>8</v>
      </c>
    </row>
    <row r="57" spans="1:12">
      <c r="A57" t="s">
        <v>11</v>
      </c>
      <c r="B57">
        <f>I56*2</f>
        <v>10</v>
      </c>
      <c r="C57" t="s">
        <v>8</v>
      </c>
      <c r="E57" s="3">
        <f>E56*I58</f>
        <v>100</v>
      </c>
      <c r="F57" t="s">
        <v>12</v>
      </c>
      <c r="H57" t="s">
        <v>13</v>
      </c>
      <c r="I57">
        <v>2</v>
      </c>
      <c r="J57" t="s">
        <v>14</v>
      </c>
    </row>
    <row r="58" spans="1:12">
      <c r="A58" t="s">
        <v>16</v>
      </c>
      <c r="B58">
        <v>2</v>
      </c>
      <c r="C58" t="s">
        <v>17</v>
      </c>
      <c r="I58">
        <f>I56*I57</f>
        <v>10</v>
      </c>
      <c r="J58" t="s">
        <v>18</v>
      </c>
    </row>
    <row r="59" spans="1:12">
      <c r="A59" t="s">
        <v>21</v>
      </c>
      <c r="B59" s="2">
        <f>B56*B58/3600*1000</f>
        <v>1.9166666666666667</v>
      </c>
      <c r="C59" t="s">
        <v>6</v>
      </c>
      <c r="H59">
        <v>724</v>
      </c>
      <c r="I59">
        <f>24*7</f>
        <v>168</v>
      </c>
      <c r="J59" t="s">
        <v>14</v>
      </c>
    </row>
    <row r="60" spans="1:12">
      <c r="A60" t="s">
        <v>24</v>
      </c>
      <c r="B60" s="3">
        <f>B59*B57</f>
        <v>19.166666666666668</v>
      </c>
      <c r="C60" t="s">
        <v>25</v>
      </c>
    </row>
    <row r="62" spans="1:12">
      <c r="A62" s="1" t="s">
        <v>29</v>
      </c>
      <c r="J62" s="39" t="s">
        <v>2</v>
      </c>
      <c r="K62" s="40"/>
      <c r="L62" s="41"/>
    </row>
    <row r="63" spans="1:12">
      <c r="A63" t="s">
        <v>31</v>
      </c>
      <c r="B63" t="s">
        <v>32</v>
      </c>
      <c r="C63" t="s">
        <v>33</v>
      </c>
      <c r="D63" t="s">
        <v>34</v>
      </c>
      <c r="E63" t="s">
        <v>35</v>
      </c>
      <c r="J63" s="19" t="s">
        <v>7</v>
      </c>
      <c r="K63" s="15">
        <v>5</v>
      </c>
      <c r="L63" s="20" t="s">
        <v>8</v>
      </c>
    </row>
    <row r="64" spans="1:12">
      <c r="A64" t="s">
        <v>36</v>
      </c>
      <c r="J64" s="21" t="s">
        <v>13</v>
      </c>
      <c r="K64" s="22">
        <v>2</v>
      </c>
      <c r="L64" s="23" t="s">
        <v>14</v>
      </c>
    </row>
    <row r="65" spans="1:14">
      <c r="A65" t="s">
        <v>38</v>
      </c>
      <c r="B65">
        <v>5</v>
      </c>
      <c r="C65">
        <f>I59-I58</f>
        <v>158</v>
      </c>
      <c r="D65">
        <v>0.05</v>
      </c>
      <c r="E65">
        <f>C65*D65</f>
        <v>7.9</v>
      </c>
    </row>
    <row r="66" spans="1:14">
      <c r="A66" t="s">
        <v>40</v>
      </c>
      <c r="J66" s="34" t="s">
        <v>53</v>
      </c>
      <c r="K66" s="35">
        <f>B59</f>
        <v>1.9166666666666667</v>
      </c>
      <c r="L66" s="18" t="s">
        <v>54</v>
      </c>
    </row>
    <row r="67" spans="1:14">
      <c r="A67" t="s">
        <v>52</v>
      </c>
      <c r="C67">
        <f>I58</f>
        <v>10</v>
      </c>
      <c r="D67">
        <v>20</v>
      </c>
      <c r="E67">
        <f>C67*D67</f>
        <v>200</v>
      </c>
      <c r="J67" s="19" t="s">
        <v>55</v>
      </c>
      <c r="K67" s="15">
        <f>E57</f>
        <v>100</v>
      </c>
      <c r="L67" s="20" t="s">
        <v>12</v>
      </c>
    </row>
    <row r="68" spans="1:14">
      <c r="D68" t="s">
        <v>42</v>
      </c>
      <c r="E68" s="3">
        <f>E65+E67</f>
        <v>207.9</v>
      </c>
      <c r="F68" t="s">
        <v>12</v>
      </c>
      <c r="J68" s="19" t="s">
        <v>56</v>
      </c>
      <c r="K68" s="15">
        <v>0.05</v>
      </c>
      <c r="L68" s="37" t="s">
        <v>57</v>
      </c>
      <c r="M68" s="34">
        <f>24*7-K64*K63</f>
        <v>158</v>
      </c>
      <c r="N68" s="18" t="s">
        <v>58</v>
      </c>
    </row>
    <row r="69" spans="1:14">
      <c r="J69" s="21" t="s">
        <v>59</v>
      </c>
      <c r="K69" s="22">
        <f>D67</f>
        <v>20</v>
      </c>
      <c r="L69" s="38" t="s">
        <v>57</v>
      </c>
      <c r="M69" s="21">
        <f>I56*I57</f>
        <v>10</v>
      </c>
      <c r="N69" s="23" t="s">
        <v>58</v>
      </c>
    </row>
    <row r="70" spans="1:14">
      <c r="A70" s="1" t="s">
        <v>43</v>
      </c>
      <c r="B70" s="4">
        <f>B60+E68+E57</f>
        <v>327.06666666666666</v>
      </c>
      <c r="C70" t="s">
        <v>12</v>
      </c>
      <c r="J70" t="s">
        <v>43</v>
      </c>
      <c r="K70" s="36">
        <f>K66*K63+K67+K68*M68+K69*M69</f>
        <v>317.48333333333335</v>
      </c>
      <c r="L70" t="s">
        <v>12</v>
      </c>
    </row>
    <row r="72" spans="1:14">
      <c r="A72" s="1" t="s">
        <v>44</v>
      </c>
      <c r="J72" s="10"/>
      <c r="K72" s="13" t="s">
        <v>49</v>
      </c>
      <c r="L72" s="13" t="s">
        <v>50</v>
      </c>
      <c r="M72" s="14" t="s">
        <v>51</v>
      </c>
    </row>
    <row r="73" spans="1:14">
      <c r="A73" t="s">
        <v>45</v>
      </c>
      <c r="B73">
        <v>3000</v>
      </c>
      <c r="C73" t="s">
        <v>6</v>
      </c>
      <c r="J73" s="11" t="s">
        <v>47</v>
      </c>
      <c r="K73" s="6">
        <v>71.117999999999995</v>
      </c>
      <c r="L73" s="6">
        <v>19.396000000000001</v>
      </c>
      <c r="M73" s="7">
        <v>9.1720000000000006</v>
      </c>
    </row>
    <row r="74" spans="1:14">
      <c r="A74" t="s">
        <v>46</v>
      </c>
      <c r="B74" s="5">
        <f>B73/B70</f>
        <v>9.1724419078679169</v>
      </c>
      <c r="C74" t="s">
        <v>47</v>
      </c>
      <c r="J74" s="12" t="s">
        <v>48</v>
      </c>
      <c r="K74" s="8">
        <v>17.78</v>
      </c>
      <c r="L74" s="8">
        <v>4.8490000000000002</v>
      </c>
      <c r="M74" s="9">
        <v>2.2930000000000001</v>
      </c>
    </row>
    <row r="75" spans="1:14">
      <c r="B75" s="5">
        <f>B74/4</f>
        <v>2.2931104769669792</v>
      </c>
      <c r="C75" t="s">
        <v>48</v>
      </c>
    </row>
  </sheetData>
  <mergeCells count="1">
    <mergeCell ref="J62:L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Lin, Elysian</dc:creator>
  <cp:keywords/>
  <dc:description/>
  <cp:lastModifiedBy/>
  <cp:revision/>
  <dcterms:created xsi:type="dcterms:W3CDTF">2026-03-08T21:14:17Z</dcterms:created>
  <dcterms:modified xsi:type="dcterms:W3CDTF">2026-10-15T03:01:38Z</dcterms:modified>
  <cp:category/>
  <cp:contentStatus/>
</cp:coreProperties>
</file>